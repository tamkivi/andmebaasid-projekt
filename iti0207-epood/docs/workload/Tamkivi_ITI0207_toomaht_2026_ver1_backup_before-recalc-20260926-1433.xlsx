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645" tabRatio="600" firstSheet="0" activeTab="0" autoFilterDateGrouping="1"/>
  </bookViews>
  <sheets>
    <sheet name="ITI020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charset val="186"/>
      <family val="2"/>
      <color theme="1"/>
      <sz val="11"/>
      <scheme val="minor"/>
    </font>
    <font>
      <name val="Calibri"/>
      <charset val="186"/>
      <family val="2"/>
      <b val="1"/>
      <color theme="1"/>
      <sz val="11"/>
      <scheme val="minor"/>
    </font>
    <font>
      <name val="Calibri"/>
      <charset val="186"/>
      <family val="2"/>
      <b val="1"/>
      <color rgb="FFFF0000"/>
      <sz val="11"/>
      <scheme val="minor"/>
    </font>
    <font>
      <name val="Calibri"/>
      <charset val="186"/>
      <family val="2"/>
      <b val="1"/>
      <color theme="1"/>
      <sz val="14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9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 style="thin">
        <color indexed="64"/>
      </bottom>
      <diagonal/>
    </border>
    <border>
      <left style="medium">
        <color theme="4"/>
      </left>
      <right style="thin">
        <color indexed="64"/>
      </right>
      <top style="medium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4"/>
      </top>
      <bottom style="thin">
        <color indexed="64"/>
      </bottom>
      <diagonal/>
    </border>
    <border>
      <left style="thin">
        <color indexed="64"/>
      </left>
      <right style="medium">
        <color theme="4"/>
      </right>
      <top style="medium">
        <color theme="4"/>
      </top>
      <bottom style="thin">
        <color indexed="64"/>
      </bottom>
      <diagonal/>
    </border>
    <border>
      <left style="medium">
        <color theme="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4"/>
      </right>
      <top style="thin">
        <color indexed="64"/>
      </top>
      <bottom style="thin">
        <color indexed="64"/>
      </bottom>
      <diagonal/>
    </border>
    <border>
      <left style="medium">
        <color theme="4"/>
      </left>
      <right style="thin">
        <color indexed="64"/>
      </right>
      <top style="thin">
        <color indexed="64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/>
      </bottom>
      <diagonal/>
    </border>
    <border>
      <left style="thin">
        <color indexed="64"/>
      </left>
      <right style="medium">
        <color theme="4"/>
      </right>
      <top style="thin">
        <color indexed="64"/>
      </top>
      <bottom style="medium">
        <color theme="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0" borderId="0" pivotButton="0" quotePrefix="0" xfId="0"/>
    <xf numFmtId="0" fontId="0" fillId="3" borderId="1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0" fillId="4" borderId="1" pivotButton="0" quotePrefix="0" xfId="0"/>
    <xf numFmtId="0" fontId="1" fillId="4" borderId="1" pivotButton="0" quotePrefix="0" xfId="0"/>
    <xf numFmtId="0" fontId="3" fillId="5" borderId="0" pivotButton="0" quotePrefix="0" xfId="0"/>
    <xf numFmtId="0" fontId="0" fillId="5" borderId="0" pivotButton="0" quotePrefix="0" xfId="0"/>
    <xf numFmtId="164" fontId="0" fillId="0" borderId="0" pivotButton="0" quotePrefix="0" xfId="0"/>
    <xf numFmtId="49" fontId="1" fillId="0" borderId="2" applyAlignment="1" pivotButton="0" quotePrefix="0" xfId="0">
      <alignment wrapText="1"/>
    </xf>
    <xf numFmtId="0" fontId="0" fillId="4" borderId="3" pivotButton="0" quotePrefix="0" xfId="0"/>
    <xf numFmtId="0" fontId="1" fillId="2" borderId="4" pivotButton="0" quotePrefix="0" xfId="0"/>
    <xf numFmtId="0" fontId="0" fillId="2" borderId="5" pivotButton="0" quotePrefix="0" xfId="0"/>
    <xf numFmtId="0" fontId="0" fillId="2" borderId="3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3" borderId="1" applyAlignment="1" pivotButton="0" quotePrefix="0" xfId="0">
      <alignment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tabSelected="1" workbookViewId="0">
      <selection activeCell="A1" sqref="A1"/>
    </sheetView>
  </sheetViews>
  <sheetFormatPr baseColWidth="8" defaultRowHeight="15"/>
  <cols>
    <col width="27.42578125" customWidth="1" min="1" max="1"/>
    <col width="6.85546875" customWidth="1" min="2" max="2"/>
    <col width="5" bestFit="1" customWidth="1" min="3" max="15"/>
    <col width="5.5703125" bestFit="1" customWidth="1" min="16" max="16"/>
    <col width="5" bestFit="1" customWidth="1" min="17" max="17"/>
    <col width="15" bestFit="1" customWidth="1" min="18" max="18"/>
    <col width="15.140625" bestFit="1" customWidth="1" min="19" max="19"/>
    <col width="12.140625" bestFit="1" customWidth="1" min="20" max="20"/>
    <col width="32.140625" bestFit="1" customWidth="1" min="22" max="22"/>
  </cols>
  <sheetData>
    <row r="1" ht="15.75" customHeight="1" thickBot="1">
      <c r="A1" s="3" t="inlineStr">
        <is>
          <t>Tegevus/Õppenädal</t>
        </is>
      </c>
      <c r="B1" s="15" t="n">
        <v>1</v>
      </c>
      <c r="C1" s="15" t="n">
        <v>2</v>
      </c>
      <c r="D1" s="15" t="n">
        <v>3</v>
      </c>
      <c r="E1" s="15" t="n">
        <v>4</v>
      </c>
      <c r="F1" s="15" t="n">
        <v>5</v>
      </c>
      <c r="G1" s="15" t="n">
        <v>6</v>
      </c>
      <c r="H1" s="15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  <c r="N1" s="15" t="n">
        <v>13</v>
      </c>
      <c r="O1" s="15" t="n">
        <v>14</v>
      </c>
      <c r="P1" s="15" t="n">
        <v>15</v>
      </c>
      <c r="Q1" s="15" t="n">
        <v>16</v>
      </c>
      <c r="R1" s="15" t="inlineStr">
        <is>
          <t>Eksamisessioon</t>
        </is>
      </c>
      <c r="S1" s="9" t="inlineStr">
        <is>
          <t>Kokku minuteid</t>
        </is>
      </c>
      <c r="T1" s="9" t="inlineStr">
        <is>
          <t>Kokku tunde</t>
        </is>
      </c>
    </row>
    <row r="2">
      <c r="A2" s="13" t="inlineStr">
        <is>
          <t>Loengud</t>
        </is>
      </c>
      <c r="B2" s="20" t="n">
        <v>90</v>
      </c>
      <c r="C2" s="21" t="n">
        <v>90</v>
      </c>
      <c r="D2" s="21" t="n">
        <v>90</v>
      </c>
      <c r="E2" s="21" t="n">
        <v>0</v>
      </c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n"/>
      <c r="S2" s="14">
        <f>SUM(B2:R2)</f>
        <v/>
      </c>
      <c r="T2" s="8">
        <f>ROUND(S2/60,1)</f>
        <v/>
      </c>
    </row>
    <row r="3">
      <c r="A3" s="13" t="inlineStr">
        <is>
          <t>Praktikumid</t>
        </is>
      </c>
      <c r="B3" s="23" t="n">
        <v>0</v>
      </c>
      <c r="C3" s="1" t="n">
        <v>0</v>
      </c>
      <c r="D3" s="1" t="n">
        <v>0</v>
      </c>
      <c r="E3" s="1" t="n">
        <v>0</v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24" t="n"/>
      <c r="S3" s="14">
        <f>SUM(B3:R3)</f>
        <v/>
      </c>
      <c r="T3" s="8">
        <f>ROUND(S3/60,1)</f>
        <v/>
      </c>
    </row>
    <row r="4">
      <c r="A4" s="13" t="inlineStr">
        <is>
          <t>Tarkvara installeerimine</t>
        </is>
      </c>
      <c r="B4" s="23" t="n">
        <v>45</v>
      </c>
      <c r="C4" s="1" t="n">
        <v>40</v>
      </c>
      <c r="D4" s="1" t="n"/>
      <c r="E4" s="1" t="n">
        <v>35</v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24" t="n"/>
      <c r="S4" s="14">
        <f>SUM(B4:R4)</f>
        <v/>
      </c>
      <c r="T4" s="8">
        <f>ROUND(S4/60,1)</f>
        <v/>
      </c>
    </row>
    <row r="5">
      <c r="A5" s="13" t="inlineStr">
        <is>
          <t>Videote vaatamine</t>
        </is>
      </c>
      <c r="B5" s="23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24" t="n"/>
      <c r="S5" s="14">
        <f>SUM(B5:R5)</f>
        <v/>
      </c>
      <c r="T5" s="8">
        <f>ROUND(S5/60,1)</f>
        <v/>
      </c>
    </row>
    <row r="6" ht="30" customHeight="1">
      <c r="A6" s="13" t="inlineStr">
        <is>
          <t>Tekstiliste materjalidega tutvumine</t>
        </is>
      </c>
      <c r="B6" s="23" t="n">
        <v>60</v>
      </c>
      <c r="C6" s="1" t="n">
        <v>75</v>
      </c>
      <c r="D6" s="1" t="n">
        <v>90</v>
      </c>
      <c r="E6" s="1" t="n">
        <v>80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24" t="n"/>
      <c r="S6" s="14">
        <f>SUM(B6:R6)</f>
        <v/>
      </c>
      <c r="T6" s="8">
        <f>ROUND(S6/60,1)</f>
        <v/>
      </c>
    </row>
    <row r="7" ht="30" customHeight="1">
      <c r="A7" s="13" t="inlineStr">
        <is>
          <t>Esimeseks vahetestiks harjutamine</t>
        </is>
      </c>
      <c r="B7" s="23" t="n"/>
      <c r="C7" s="1" t="n">
        <v>15</v>
      </c>
      <c r="D7" s="1" t="n">
        <v>20</v>
      </c>
      <c r="E7" s="1" t="n">
        <v>10</v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24" t="n"/>
      <c r="S7" s="14">
        <f>SUM(B7:R7)</f>
        <v/>
      </c>
      <c r="T7" s="8">
        <f>ROUND(S7/60,1)</f>
        <v/>
      </c>
    </row>
    <row r="8" ht="30" customHeight="1">
      <c r="A8" s="13" t="inlineStr">
        <is>
          <t>Teiseks vahetestiks harjutamine</t>
        </is>
      </c>
      <c r="B8" s="23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O8" s="1" t="n"/>
      <c r="P8" s="1" t="n"/>
      <c r="Q8" s="1" t="n"/>
      <c r="R8" s="24" t="n"/>
      <c r="S8" s="14">
        <f>SUM(B8:R8)</f>
        <v/>
      </c>
      <c r="T8" s="8">
        <f>ROUND(S8/60,1)</f>
        <v/>
      </c>
    </row>
    <row r="9" ht="30" customHeight="1">
      <c r="A9" s="13" t="inlineStr">
        <is>
          <t>Kolmandaks vahetestiks harjutamine</t>
        </is>
      </c>
      <c r="B9" s="23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24" t="n"/>
      <c r="S9" s="14">
        <f>SUM(B9:R9)</f>
        <v/>
      </c>
      <c r="T9" s="8">
        <f>ROUND(S9/60,1)</f>
        <v/>
      </c>
    </row>
    <row r="10">
      <c r="A10" s="13" t="inlineStr">
        <is>
          <t>Lõpptestiks harjutamine</t>
        </is>
      </c>
      <c r="B10" s="23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24" t="n"/>
      <c r="S10" s="14">
        <f>SUM(B10:R10)</f>
        <v/>
      </c>
      <c r="T10" s="8">
        <f>ROUND(S10/60,1)</f>
        <v/>
      </c>
    </row>
    <row r="11">
      <c r="A11" s="13" t="inlineStr">
        <is>
          <t>Lõpptest</t>
        </is>
      </c>
      <c r="B11" s="23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24" t="n"/>
      <c r="S11" s="14">
        <f>SUM(B11:R11)</f>
        <v/>
      </c>
      <c r="T11" s="8">
        <f>ROUND(S11/60,1)</f>
        <v/>
      </c>
    </row>
    <row r="12" ht="30" customHeight="1">
      <c r="A12" s="13" t="inlineStr">
        <is>
          <t>Iseseisev SQL ülesannete lahendamine</t>
        </is>
      </c>
      <c r="B12" s="23" t="n"/>
      <c r="C12" s="1" t="n">
        <v>90</v>
      </c>
      <c r="D12" s="1" t="n">
        <v>100</v>
      </c>
      <c r="E12" s="1" t="n">
        <v>30</v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24" t="n"/>
      <c r="S12" s="14">
        <f>SUM(B12:R12)</f>
        <v/>
      </c>
      <c r="T12" s="8">
        <f>ROUND(S12/60,1)</f>
        <v/>
      </c>
    </row>
    <row r="13" ht="30" customHeight="1">
      <c r="A13" s="13" t="inlineStr">
        <is>
          <t>Iseseisev UML ülesannete lahendamine</t>
        </is>
      </c>
      <c r="B13" s="23" t="n"/>
      <c r="C13" s="1" t="n">
        <v>35</v>
      </c>
      <c r="D13" s="1" t="n">
        <v>40</v>
      </c>
      <c r="E13" s="1" t="n">
        <v>0</v>
      </c>
      <c r="F13" s="1" t="n"/>
      <c r="G13" s="1" t="n"/>
      <c r="H13" s="19" t="n"/>
      <c r="I13" s="18" t="n"/>
      <c r="J13" s="1" t="n"/>
      <c r="K13" s="1" t="n"/>
      <c r="L13" s="1" t="n"/>
      <c r="M13" s="1" t="n"/>
      <c r="N13" s="1" t="n"/>
      <c r="O13" s="1" t="n"/>
      <c r="P13" s="1" t="n"/>
      <c r="Q13" s="1" t="n"/>
      <c r="R13" s="24" t="n"/>
      <c r="S13" s="14">
        <f>SUM(B13:R13)</f>
        <v/>
      </c>
      <c r="T13" s="8">
        <f>ROUND(S13/60,1)</f>
        <v/>
      </c>
    </row>
    <row r="14" ht="30" customHeight="1">
      <c r="A14" s="13" t="inlineStr">
        <is>
          <t>Projekti tegemine väljaspool praktikumi</t>
        </is>
      </c>
      <c r="B14" s="23" t="n">
        <v>40</v>
      </c>
      <c r="C14" s="1" t="n">
        <v>60</v>
      </c>
      <c r="D14" s="1" t="n">
        <v>120</v>
      </c>
      <c r="E14" s="1" t="n">
        <v>450</v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24" t="n"/>
      <c r="S14" s="14">
        <f>SUM(B14:R14)</f>
        <v/>
      </c>
      <c r="T14" s="8">
        <f>ROUND(S14/60,1)</f>
        <v/>
      </c>
    </row>
    <row r="15" ht="15.75" customHeight="1" thickBot="1">
      <c r="A15" s="13" t="inlineStr">
        <is>
          <t>Tegevuste logimine</t>
        </is>
      </c>
      <c r="B15" s="25" t="n">
        <v>5</v>
      </c>
      <c r="C15" s="26" t="n">
        <v>5</v>
      </c>
      <c r="D15" s="26" t="n">
        <v>5</v>
      </c>
      <c r="E15" s="26" t="n">
        <v>15</v>
      </c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7" t="n"/>
      <c r="S15" s="14">
        <f>SUM(B15:R15)</f>
        <v/>
      </c>
      <c r="T15" s="8">
        <f>ROUND(S15/60,1)</f>
        <v/>
      </c>
    </row>
    <row r="16">
      <c r="A16" s="3" t="inlineStr">
        <is>
          <t>Kokku minuteid nädalas</t>
        </is>
      </c>
      <c r="B16" s="16">
        <f>SUM(B2:B15)</f>
        <v/>
      </c>
      <c r="C16" s="16">
        <f>SUM(C2:C15)</f>
        <v/>
      </c>
      <c r="D16" s="16">
        <f>SUM(D2:D15)</f>
        <v/>
      </c>
      <c r="E16" s="16">
        <f>SUM(E2:E15)</f>
        <v/>
      </c>
      <c r="F16" s="16">
        <f>SUM(F2:F15)</f>
        <v/>
      </c>
      <c r="G16" s="16">
        <f>SUM(G2:G15)</f>
        <v/>
      </c>
      <c r="H16" s="16">
        <f>SUM(H2:H15)</f>
        <v/>
      </c>
      <c r="I16" s="16">
        <f>SUM(I2:I15)</f>
        <v/>
      </c>
      <c r="J16" s="16">
        <f>SUM(J2:J15)</f>
        <v/>
      </c>
      <c r="K16" s="16">
        <f>SUM(K2:K15)</f>
        <v/>
      </c>
      <c r="L16" s="16">
        <f>SUM(L2:L15)</f>
        <v/>
      </c>
      <c r="M16" s="16">
        <f>SUM(M2:M15)</f>
        <v/>
      </c>
      <c r="N16" s="16">
        <f>SUM(N2:N15)</f>
        <v/>
      </c>
      <c r="O16" s="16">
        <f>SUM(O2:O15)</f>
        <v/>
      </c>
      <c r="P16" s="16">
        <f>SUM(P2:P15)</f>
        <v/>
      </c>
      <c r="Q16" s="16">
        <f>SUM(Q2:Q15)</f>
        <v/>
      </c>
      <c r="R16" s="16">
        <f>SUM(R2:R15)</f>
        <v/>
      </c>
      <c r="S16" s="8">
        <f>SUM(S2:S15)</f>
        <v/>
      </c>
      <c r="T16" s="8">
        <f>SUM(T2:T15)</f>
        <v/>
      </c>
    </row>
    <row r="17">
      <c r="A17" s="3" t="inlineStr">
        <is>
          <t>Kokku tunde nädalas</t>
        </is>
      </c>
      <c r="B17" s="2">
        <f>ROUND(B16/60,1)</f>
        <v/>
      </c>
      <c r="C17" s="2">
        <f>ROUND(C16/60,1)</f>
        <v/>
      </c>
      <c r="D17" s="2">
        <f>ROUND(D16/60,1)</f>
        <v/>
      </c>
      <c r="E17" s="2">
        <f>ROUND(E16/60,1)</f>
        <v/>
      </c>
      <c r="F17" s="2">
        <f>ROUND(F16/60,1)</f>
        <v/>
      </c>
      <c r="G17" s="2">
        <f>ROUND(G16/60,1)</f>
        <v/>
      </c>
      <c r="H17" s="2">
        <f>ROUND(H16/60,1)</f>
        <v/>
      </c>
      <c r="I17" s="2">
        <f>ROUND(I16/60,1)</f>
        <v/>
      </c>
      <c r="J17" s="2">
        <f>ROUND(J16/60,1)</f>
        <v/>
      </c>
      <c r="K17" s="2">
        <f>ROUND(K16/60,1)</f>
        <v/>
      </c>
      <c r="L17" s="2">
        <f>ROUND(L16/60,1)</f>
        <v/>
      </c>
      <c r="M17" s="2">
        <f>ROUND(M16/60,1)</f>
        <v/>
      </c>
      <c r="N17" s="2">
        <f>ROUND(N16/60,1)</f>
        <v/>
      </c>
      <c r="O17" s="2">
        <f>ROUND(O16/60,1)</f>
        <v/>
      </c>
      <c r="P17" s="2">
        <f>ROUND(P16/60,1)</f>
        <v/>
      </c>
      <c r="Q17" s="2">
        <f>ROUND(Q16/60,1)</f>
        <v/>
      </c>
      <c r="R17" s="2">
        <f>ROUND(R16/60,1)</f>
        <v/>
      </c>
    </row>
    <row r="18">
      <c r="A18" s="3" t="inlineStr">
        <is>
          <t>Minuteid kumulatiivselt</t>
        </is>
      </c>
      <c r="B18" s="2">
        <f>SUM($B$16:B16)</f>
        <v/>
      </c>
      <c r="C18" s="2">
        <f>SUM($B$16:C16)</f>
        <v/>
      </c>
      <c r="D18" s="2">
        <f>SUM($B$16:D16)</f>
        <v/>
      </c>
      <c r="E18" s="2">
        <f>SUM($B$16:E16)</f>
        <v/>
      </c>
      <c r="F18" s="2">
        <f>SUM($B$16:F16)</f>
        <v/>
      </c>
      <c r="G18" s="2">
        <f>SUM($B$16:G16)</f>
        <v/>
      </c>
      <c r="H18" s="2">
        <f>SUM($B$16:H16)</f>
        <v/>
      </c>
      <c r="I18" s="2">
        <f>SUM($B$16:I16)</f>
        <v/>
      </c>
      <c r="J18" s="2">
        <f>SUM($B$16:J16)</f>
        <v/>
      </c>
      <c r="K18" s="2">
        <f>SUM($B$16:K16)</f>
        <v/>
      </c>
      <c r="L18" s="2">
        <f>SUM($B$16:L16)</f>
        <v/>
      </c>
      <c r="M18" s="2">
        <f>SUM($B$16:M16)</f>
        <v/>
      </c>
      <c r="N18" s="2">
        <f>SUM($B$16:N16)</f>
        <v/>
      </c>
      <c r="O18" s="2">
        <f>SUM($B$16:O16)</f>
        <v/>
      </c>
      <c r="P18" s="2">
        <f>SUM($B$16:P16)</f>
        <v/>
      </c>
      <c r="Q18" s="2">
        <f>SUM($B$16:Q16)</f>
        <v/>
      </c>
      <c r="R18" s="2">
        <f>SUM($B$16:R16)</f>
        <v/>
      </c>
    </row>
    <row r="19">
      <c r="A19" s="3" t="inlineStr">
        <is>
          <t>Tunde kumulatiivselt</t>
        </is>
      </c>
      <c r="B19" s="2">
        <f>SUM($B$17:B17)</f>
        <v/>
      </c>
      <c r="C19" s="2">
        <f>SUM($B$17:C17)</f>
        <v/>
      </c>
      <c r="D19" s="2">
        <f>SUM($B$17:D17)</f>
        <v/>
      </c>
      <c r="E19" s="2">
        <f>SUM($B$17:E17)</f>
        <v/>
      </c>
      <c r="F19" s="2">
        <f>SUM($B$17:F17)</f>
        <v/>
      </c>
      <c r="G19" s="2">
        <f>SUM($B$17:G17)</f>
        <v/>
      </c>
      <c r="H19" s="2">
        <f>SUM($B$17:H17)</f>
        <v/>
      </c>
      <c r="I19" s="2">
        <f>SUM($B$17:I17)</f>
        <v/>
      </c>
      <c r="J19" s="2">
        <f>SUM($B$17:J17)</f>
        <v/>
      </c>
      <c r="K19" s="2">
        <f>SUM($B$17:K17)</f>
        <v/>
      </c>
      <c r="L19" s="2">
        <f>SUM($B$17:L17)</f>
        <v/>
      </c>
      <c r="M19" s="2">
        <f>SUM($B$17:M17)</f>
        <v/>
      </c>
      <c r="N19" s="2">
        <f>SUM($B$17:N17)</f>
        <v/>
      </c>
      <c r="O19" s="2">
        <f>SUM($B$17:O17)</f>
        <v/>
      </c>
      <c r="P19" s="17">
        <f>SUM($B$17:P17)</f>
        <v/>
      </c>
      <c r="Q19" s="2">
        <f>SUM($B$17:Q17)</f>
        <v/>
      </c>
      <c r="R19" s="2">
        <f>ROUND(SUM($B$17:R17),0)</f>
        <v/>
      </c>
    </row>
    <row r="21">
      <c r="A21" s="4" t="inlineStr">
        <is>
          <t>Tabelis on õppeaine "Andmebaasid II" oodatav hinnanguline töömaht tegevuste ja nädalate kaupa minutites</t>
        </is>
      </c>
    </row>
    <row r="22" ht="30" customHeight="1">
      <c r="A22" s="28" t="inlineStr">
        <is>
          <t>Tähistab aega, mis on puhtalt projektiga tegelemine</t>
        </is>
      </c>
    </row>
    <row r="23" ht="18.75" customHeight="1">
      <c r="S23" s="1" t="n"/>
      <c r="V23" s="10" t="inlineStr">
        <is>
          <t>Tuleb täita, kui soovite lisapunkte</t>
        </is>
      </c>
      <c r="W23" s="11" t="n"/>
      <c r="X23" s="11" t="n"/>
    </row>
    <row r="24" ht="18.75" customHeight="1">
      <c r="V24" s="10" t="inlineStr">
        <is>
          <t>Eesnimi:</t>
        </is>
      </c>
      <c r="W24" s="11" t="n"/>
      <c r="X24" s="11" t="inlineStr">
        <is>
          <t>Gustav</t>
        </is>
      </c>
    </row>
    <row r="25" ht="18.75" customHeight="1">
      <c r="A25" s="7" t="inlineStr">
        <is>
          <t>1EAP=26 tundi tööd (1 tund=60 minutit). 6EAP=156 tundi tööd</t>
        </is>
      </c>
      <c r="V25" s="10" t="inlineStr">
        <is>
          <t>Perenimi:</t>
        </is>
      </c>
      <c r="W25" s="11" t="n"/>
      <c r="X25" s="11" t="inlineStr">
        <is>
          <t>Tamkivi</t>
        </is>
      </c>
    </row>
    <row r="26" ht="18.75" customHeight="1">
      <c r="A26" s="7" t="n"/>
      <c r="V26" s="10" t="inlineStr">
        <is>
          <t>Üliõpilaskood:</t>
        </is>
      </c>
      <c r="W26" s="11" t="n"/>
      <c r="X26" s="11" t="inlineStr">
        <is>
          <t>253787IAIB</t>
        </is>
      </c>
    </row>
    <row r="27" ht="56.25" customHeight="1">
      <c r="A27" s="6" t="inlineStr">
        <is>
          <t>Erinevus ettenähtud tundide arvust (tundides)</t>
        </is>
      </c>
      <c r="B27" s="7">
        <f>T16-156</f>
        <v/>
      </c>
    </row>
    <row r="28" ht="37.5" customHeight="1">
      <c r="A28" s="6" t="inlineStr">
        <is>
          <t>Semestri tegelik töömaht EAP-des</t>
        </is>
      </c>
      <c r="B28" s="7">
        <f>ROUND(T16/26,1)</f>
        <v/>
      </c>
    </row>
    <row r="33">
      <c r="A33" t="inlineStr">
        <is>
          <t>Ärge kustutage =&gt;</t>
        </is>
      </c>
      <c r="B33">
        <f>T2</f>
        <v/>
      </c>
      <c r="C33">
        <f>T3</f>
        <v/>
      </c>
      <c r="D33">
        <f>T4</f>
        <v/>
      </c>
      <c r="E33">
        <f>T5</f>
        <v/>
      </c>
      <c r="F33">
        <f>T6</f>
        <v/>
      </c>
      <c r="G33">
        <f>T7</f>
        <v/>
      </c>
      <c r="H33">
        <f>T8</f>
        <v/>
      </c>
      <c r="I33">
        <f>T9</f>
        <v/>
      </c>
      <c r="J33">
        <f>T10</f>
        <v/>
      </c>
      <c r="K33">
        <f>T11</f>
        <v/>
      </c>
      <c r="L33">
        <f>T12</f>
        <v/>
      </c>
      <c r="M33">
        <f>T13</f>
        <v/>
      </c>
      <c r="N33">
        <f>T14</f>
        <v/>
      </c>
      <c r="O33">
        <f>T15</f>
        <v/>
      </c>
      <c r="P33" s="12">
        <f>T16</f>
        <v/>
      </c>
    </row>
  </sheetData>
  <conditionalFormatting sqref="B27">
    <cfRule type="cellIs" priority="1" operator="lessThan" dxfId="1">
      <formula>0</formula>
    </cfRule>
    <cfRule type="cellIs" priority="2" operator="greaterThan" dxfId="0">
      <formula>0</formula>
    </cfRule>
  </conditionalFormatting>
  <conditionalFormatting sqref="B28">
    <cfRule type="cellIs" priority="4" operator="lessThan" dxfId="1">
      <formula>6</formula>
    </cfRule>
    <cfRule type="cellIs" priority="5" operator="greaterThan" dxfId="0">
      <formula>6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Erki Eessaar</dc:creator>
  <dcterms:created xsi:type="dcterms:W3CDTF">2024-01-06T09:34:39Z</dcterms:created>
  <dcterms:modified xsi:type="dcterms:W3CDTF">2026-09-24T02:07:14Z</dcterms:modified>
  <cp:lastModifiedBy>Erki Eessaar</cp:lastModifiedBy>
</cp:coreProperties>
</file>